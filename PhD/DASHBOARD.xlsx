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PhD PROJECT\MACHINE LEARNING AND GEOINFORMATICS\DATA\PhD Data\PhD Data\"/>
    </mc:Choice>
  </mc:AlternateContent>
  <bookViews>
    <workbookView xWindow="0" yWindow="0" windowWidth="20490" windowHeight="8925" activeTab="2"/>
  </bookViews>
  <sheets>
    <sheet name="COMPLETE_data 2" sheetId="1" r:id="rId1"/>
    <sheet name="Pivot" sheetId="3" r:id="rId2"/>
    <sheet name="Dashboard" sheetId="2" r:id="rId3"/>
  </sheets>
  <calcPr calcId="162913"/>
  <pivotCaches>
    <pivotCache cacheId="32" r:id="rId4"/>
  </pivotCaches>
</workbook>
</file>

<file path=xl/calcChain.xml><?xml version="1.0" encoding="utf-8"?>
<calcChain xmlns="http://schemas.openxmlformats.org/spreadsheetml/2006/main">
  <c r="F7" i="2" l="1"/>
  <c r="W2" i="1"/>
  <c r="W3" i="1"/>
  <c r="F26" i="2"/>
  <c r="F24" i="2"/>
  <c r="F22" i="2"/>
  <c r="F20" i="2"/>
  <c r="F18" i="2"/>
  <c r="F16" i="2"/>
  <c r="F14" i="2"/>
  <c r="F12" i="2"/>
  <c r="F10" i="2"/>
  <c r="D26" i="2"/>
  <c r="D24" i="2"/>
  <c r="D22" i="2"/>
  <c r="D20" i="2"/>
  <c r="D18" i="2"/>
  <c r="D16" i="2"/>
  <c r="D14" i="2"/>
  <c r="D12" i="2"/>
  <c r="D10" i="2"/>
</calcChain>
</file>

<file path=xl/sharedStrings.xml><?xml version="1.0" encoding="utf-8"?>
<sst xmlns="http://schemas.openxmlformats.org/spreadsheetml/2006/main" count="46" uniqueCount="42">
  <si>
    <t>Household_ID</t>
  </si>
  <si>
    <t>Gender</t>
  </si>
  <si>
    <t>LULC</t>
  </si>
  <si>
    <t>Nearest_WaterPoint_Name</t>
  </si>
  <si>
    <t>Nearest_WaterPoint_ID</t>
  </si>
  <si>
    <t>Elevation_Household</t>
  </si>
  <si>
    <t>Elevation_WaterPoint</t>
  </si>
  <si>
    <t>female</t>
  </si>
  <si>
    <t>Wt3</t>
  </si>
  <si>
    <t>male</t>
  </si>
  <si>
    <t>Willingness_to_pay</t>
  </si>
  <si>
    <t>Household_Income</t>
  </si>
  <si>
    <t>Household_Size</t>
  </si>
  <si>
    <t>Rainfall_dry_season</t>
  </si>
  <si>
    <t>Rainfall_wet_season</t>
  </si>
  <si>
    <t>Average_temperature_dry_season</t>
  </si>
  <si>
    <t>Average_temperature_wet_season</t>
  </si>
  <si>
    <t>LST_dry_season</t>
  </si>
  <si>
    <t>LST_wet_season</t>
  </si>
  <si>
    <t>Travel_Time</t>
  </si>
  <si>
    <t>Amount_Spent</t>
  </si>
  <si>
    <t>Shortest_Distance</t>
  </si>
  <si>
    <t>Volume_pe_ day_dry_season</t>
  </si>
  <si>
    <t>Volume_pe_ day_wet_season</t>
  </si>
  <si>
    <t>Height_Difference</t>
  </si>
  <si>
    <t>Household Income</t>
  </si>
  <si>
    <t>Household Size</t>
  </si>
  <si>
    <t>Average Rainfall</t>
  </si>
  <si>
    <t>Average Temperature</t>
  </si>
  <si>
    <t>Travel Time</t>
  </si>
  <si>
    <t>Amount Spent</t>
  </si>
  <si>
    <t>Willingness to Pay</t>
  </si>
  <si>
    <t>shortest Distance</t>
  </si>
  <si>
    <t>Height Difference</t>
  </si>
  <si>
    <t>Column Labels</t>
  </si>
  <si>
    <t>Grand Total</t>
  </si>
  <si>
    <t>50000 Total</t>
  </si>
  <si>
    <t>100000 Total</t>
  </si>
  <si>
    <t>7 Total</t>
  </si>
  <si>
    <t>Row Labels</t>
  </si>
  <si>
    <t>2 Total</t>
  </si>
  <si>
    <t>Results_dry_season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</si>
</sst>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 applyAlignment="1">
      <alignment horizontal="center"/>
    </xf>
    <xf numFmtId="0" fontId="0" fillId="34" borderId="0" xfId="0" applyFill="1"/>
    <xf numFmtId="0" fontId="18" fillId="34" borderId="0" xfId="0" applyFont="1" applyFill="1"/>
    <xf numFmtId="0" fontId="0" fillId="34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847725</xdr:colOff>
      <xdr:row>4</xdr:row>
      <xdr:rowOff>161925</xdr:rowOff>
    </xdr:from>
    <xdr:to>
      <xdr:col>19</xdr:col>
      <xdr:colOff>1352550</xdr:colOff>
      <xdr:row>9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26550" y="923925"/>
          <a:ext cx="59436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9524</xdr:rowOff>
    </xdr:from>
    <xdr:to>
      <xdr:col>6</xdr:col>
      <xdr:colOff>380999</xdr:colOff>
      <xdr:row>3</xdr:row>
      <xdr:rowOff>95249</xdr:rowOff>
    </xdr:to>
    <xdr:sp macro="" textlink="">
      <xdr:nvSpPr>
        <xdr:cNvPr id="3" name="TextBox 2"/>
        <xdr:cNvSpPr txBox="1"/>
      </xdr:nvSpPr>
      <xdr:spPr>
        <a:xfrm>
          <a:off x="9524" y="9524"/>
          <a:ext cx="402907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bg1"/>
              </a:solidFill>
            </a:rPr>
            <a:t>Household</a:t>
          </a:r>
          <a:r>
            <a:rPr lang="en-US" sz="2800" b="1" baseline="0">
              <a:solidFill>
                <a:schemeClr val="bg1"/>
              </a:solidFill>
            </a:rPr>
            <a:t> </a:t>
          </a:r>
          <a:r>
            <a:rPr lang="en-US" sz="2800" b="1">
              <a:solidFill>
                <a:schemeClr val="bg1"/>
              </a:solidFill>
            </a:rPr>
            <a:t>Water</a:t>
          </a:r>
          <a:r>
            <a:rPr lang="en-US" sz="2800" b="1" baseline="0">
              <a:solidFill>
                <a:schemeClr val="bg1"/>
              </a:solidFill>
            </a:rPr>
            <a:t> Consumption</a:t>
          </a:r>
          <a:endParaRPr lang="en-U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</xdr:colOff>
      <xdr:row>5</xdr:row>
      <xdr:rowOff>9525</xdr:rowOff>
    </xdr:from>
    <xdr:to>
      <xdr:col>8</xdr:col>
      <xdr:colOff>0</xdr:colOff>
      <xdr:row>29</xdr:row>
      <xdr:rowOff>180975</xdr:rowOff>
    </xdr:to>
    <xdr:sp macro="" textlink="">
      <xdr:nvSpPr>
        <xdr:cNvPr id="5" name="Rectangle 4"/>
        <xdr:cNvSpPr/>
      </xdr:nvSpPr>
      <xdr:spPr>
        <a:xfrm>
          <a:off x="9525" y="962025"/>
          <a:ext cx="5962650" cy="47910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161925</xdr:colOff>
      <xdr:row>26</xdr:row>
      <xdr:rowOff>28575</xdr:rowOff>
    </xdr:from>
    <xdr:to>
      <xdr:col>5</xdr:col>
      <xdr:colOff>19050</xdr:colOff>
      <xdr:row>29</xdr:row>
      <xdr:rowOff>19050</xdr:rowOff>
    </xdr:to>
    <xdr:grpSp>
      <xdr:nvGrpSpPr>
        <xdr:cNvPr id="8" name="Group 7"/>
        <xdr:cNvGrpSpPr/>
      </xdr:nvGrpSpPr>
      <xdr:grpSpPr>
        <a:xfrm>
          <a:off x="2886075" y="5438775"/>
          <a:ext cx="1685925" cy="561975"/>
          <a:chOff x="2000250" y="5172075"/>
          <a:chExt cx="1685925" cy="561975"/>
        </a:xfrm>
      </xdr:grpSpPr>
      <xdr:sp macro="" textlink="">
        <xdr:nvSpPr>
          <xdr:cNvPr id="7" name="Rounded Rectangle 6"/>
          <xdr:cNvSpPr/>
        </xdr:nvSpPr>
        <xdr:spPr>
          <a:xfrm>
            <a:off x="2000250" y="5172075"/>
            <a:ext cx="1685925" cy="561975"/>
          </a:xfrm>
          <a:prstGeom prst="roundRect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TextBox 5"/>
          <xdr:cNvSpPr txBox="1"/>
        </xdr:nvSpPr>
        <xdr:spPr>
          <a:xfrm>
            <a:off x="2162175" y="5257800"/>
            <a:ext cx="1419225" cy="390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1">
                <a:solidFill>
                  <a:schemeClr val="bg1"/>
                </a:solidFill>
              </a:rPr>
              <a:t>Calculate</a:t>
            </a:r>
          </a:p>
        </xdr:txBody>
      </xdr:sp>
    </xdr:grpSp>
    <xdr:clientData/>
  </xdr:twoCellAnchor>
  <xdr:twoCellAnchor>
    <xdr:from>
      <xdr:col>0</xdr:col>
      <xdr:colOff>2</xdr:colOff>
      <xdr:row>5</xdr:row>
      <xdr:rowOff>57150</xdr:rowOff>
    </xdr:from>
    <xdr:to>
      <xdr:col>7</xdr:col>
      <xdr:colOff>523875</xdr:colOff>
      <xdr:row>8</xdr:row>
      <xdr:rowOff>47625</xdr:rowOff>
    </xdr:to>
    <xdr:grpSp>
      <xdr:nvGrpSpPr>
        <xdr:cNvPr id="9" name="Group 8"/>
        <xdr:cNvGrpSpPr/>
      </xdr:nvGrpSpPr>
      <xdr:grpSpPr>
        <a:xfrm>
          <a:off x="2" y="1009650"/>
          <a:ext cx="6296023" cy="590550"/>
          <a:chOff x="1990900" y="5172075"/>
          <a:chExt cx="1030115" cy="561975"/>
        </a:xfrm>
      </xdr:grpSpPr>
      <xdr:sp macro="" textlink="">
        <xdr:nvSpPr>
          <xdr:cNvPr id="10" name="Rounded Rectangle 9"/>
          <xdr:cNvSpPr/>
        </xdr:nvSpPr>
        <xdr:spPr>
          <a:xfrm>
            <a:off x="2000250" y="5172075"/>
            <a:ext cx="1020765" cy="561975"/>
          </a:xfrm>
          <a:prstGeom prst="roundRect">
            <a:avLst/>
          </a:prstGeom>
          <a:solidFill>
            <a:srgbClr val="0070C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TextBox 10"/>
          <xdr:cNvSpPr txBox="1"/>
        </xdr:nvSpPr>
        <xdr:spPr>
          <a:xfrm>
            <a:off x="1990900" y="5249658"/>
            <a:ext cx="599992" cy="390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1">
                <a:solidFill>
                  <a:schemeClr val="bg1"/>
                </a:solidFill>
              </a:rPr>
              <a:t>Volume</a:t>
            </a:r>
            <a:r>
              <a:rPr lang="en-US" sz="2000" b="1" baseline="0">
                <a:solidFill>
                  <a:schemeClr val="bg1"/>
                </a:solidFill>
              </a:rPr>
              <a:t> of water consumed</a:t>
            </a:r>
            <a:endParaRPr lang="en-US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571500</xdr:colOff>
      <xdr:row>5</xdr:row>
      <xdr:rowOff>114300</xdr:rowOff>
    </xdr:from>
    <xdr:to>
      <xdr:col>7</xdr:col>
      <xdr:colOff>38100</xdr:colOff>
      <xdr:row>8</xdr:row>
      <xdr:rowOff>19050</xdr:rowOff>
    </xdr:to>
    <xdr:sp macro="" textlink="$F$7">
      <xdr:nvSpPr>
        <xdr:cNvPr id="14" name="TextBox 13"/>
        <xdr:cNvSpPr txBox="1"/>
      </xdr:nvSpPr>
      <xdr:spPr>
        <a:xfrm>
          <a:off x="3905250" y="1066800"/>
          <a:ext cx="1905000" cy="504825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18D5FDF-F42E-4979-854A-2E1E5B332847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-126.1899916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983.745454282405" createdVersion="6" refreshedVersion="6" minRefreshableVersion="3" recordCount="2">
  <cacheSource type="worksheet">
    <worksheetSource name="Table1"/>
  </cacheSource>
  <cacheFields count="22">
    <cacheField name="Household_ID" numFmtId="0">
      <sharedItems containsSemiMixedTypes="0" containsString="0" containsNumber="1" containsInteger="1" minValue="1" maxValue="2" count="2">
        <n v="1"/>
        <n v="2"/>
      </sharedItems>
    </cacheField>
    <cacheField name="Gender" numFmtId="0">
      <sharedItems/>
    </cacheField>
    <cacheField name="Household_Income" numFmtId="0">
      <sharedItems containsSemiMixedTypes="0" containsString="0" containsNumber="1" containsInteger="1" minValue="50000" maxValue="100000" count="2">
        <n v="100000"/>
        <n v="50000"/>
      </sharedItems>
    </cacheField>
    <cacheField name="Household_Size" numFmtId="0">
      <sharedItems containsSemiMixedTypes="0" containsString="0" containsNumber="1" containsInteger="1" minValue="7" maxValue="7" count="1">
        <n v="7"/>
      </sharedItems>
    </cacheField>
    <cacheField name="Rainfall_dry_season" numFmtId="0">
      <sharedItems containsSemiMixedTypes="0" containsString="0" containsNumber="1" containsInteger="1" minValue="2" maxValue="2" count="1">
        <n v="2"/>
      </sharedItems>
    </cacheField>
    <cacheField name="Rainfall_wet_season" numFmtId="0">
      <sharedItems containsSemiMixedTypes="0" containsString="0" containsNumber="1" containsInteger="1" minValue="169" maxValue="169"/>
    </cacheField>
    <cacheField name="Average_temperature_dry_season" numFmtId="0">
      <sharedItems containsSemiMixedTypes="0" containsString="0" containsNumber="1" minValue="29.1" maxValue="29.1" count="1">
        <n v="29.1"/>
      </sharedItems>
    </cacheField>
    <cacheField name="Average_temperature_wet_season" numFmtId="0">
      <sharedItems containsSemiMixedTypes="0" containsString="0" containsNumber="1" minValue="28.4" maxValue="28.4"/>
    </cacheField>
    <cacheField name="LST_dry_season" numFmtId="0">
      <sharedItems containsSemiMixedTypes="0" containsString="0" containsNumber="1" minValue="41.37" maxValue="41.4"/>
    </cacheField>
    <cacheField name="LST_wet_season" numFmtId="0">
      <sharedItems containsSemiMixedTypes="0" containsString="0" containsNumber="1" minValue="38.51" maxValue="39.119999999999997"/>
    </cacheField>
    <cacheField name="Travel_Time" numFmtId="0">
      <sharedItems containsSemiMixedTypes="0" containsString="0" containsNumber="1" containsInteger="1" minValue="30" maxValue="45"/>
    </cacheField>
    <cacheField name="Amount_Spent" numFmtId="0">
      <sharedItems containsSemiMixedTypes="0" containsString="0" containsNumber="1" containsInteger="1" minValue="165" maxValue="330"/>
    </cacheField>
    <cacheField name="Willingness_to_pay" numFmtId="0">
      <sharedItems containsSemiMixedTypes="0" containsString="0" containsNumber="1" containsInteger="1" minValue="210" maxValue="380"/>
    </cacheField>
    <cacheField name="Shortest_Distance" numFmtId="0">
      <sharedItems containsSemiMixedTypes="0" containsString="0" containsNumber="1" minValue="136.01" maxValue="349.69"/>
    </cacheField>
    <cacheField name="LULC" numFmtId="0">
      <sharedItems containsSemiMixedTypes="0" containsString="0" containsNumber="1" containsInteger="1" minValue="7" maxValue="7"/>
    </cacheField>
    <cacheField name="Volume_pe_ day_dry_season" numFmtId="0">
      <sharedItems containsSemiMixedTypes="0" containsString="0" containsNumber="1" containsInteger="1" minValue="100" maxValue="180"/>
    </cacheField>
    <cacheField name="Volume_pe_ day_wet_season" numFmtId="0">
      <sharedItems containsSemiMixedTypes="0" containsString="0" containsNumber="1" containsInteger="1" minValue="120" maxValue="200"/>
    </cacheField>
    <cacheField name="Nearest_WaterPoint_Name" numFmtId="0">
      <sharedItems/>
    </cacheField>
    <cacheField name="Nearest_WaterPoint_ID" numFmtId="0">
      <sharedItems containsSemiMixedTypes="0" containsString="0" containsNumber="1" containsInteger="1" minValue="96" maxValue="96"/>
    </cacheField>
    <cacheField name="Elevation_Household" numFmtId="0">
      <sharedItems containsSemiMixedTypes="0" containsString="0" containsNumber="1" containsInteger="1" minValue="443" maxValue="449"/>
    </cacheField>
    <cacheField name="Elevation_WaterPoint" numFmtId="0">
      <sharedItems containsSemiMixedTypes="0" containsString="0" containsNumber="1" containsInteger="1" minValue="447" maxValue="447"/>
    </cacheField>
    <cacheField name="Height_Difference" numFmtId="0">
      <sharedItems containsSemiMixedTypes="0" containsString="0" containsNumber="1" containsInteger="1" minValue="2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s v="female"/>
    <x v="0"/>
    <x v="0"/>
    <x v="0"/>
    <n v="169"/>
    <x v="0"/>
    <n v="28.4"/>
    <n v="41.4"/>
    <n v="38.51"/>
    <n v="30"/>
    <n v="330"/>
    <n v="380"/>
    <n v="136.01"/>
    <n v="7"/>
    <n v="180"/>
    <n v="200"/>
    <s v="Wt3"/>
    <n v="96"/>
    <n v="443"/>
    <n v="447"/>
    <n v="4"/>
  </r>
  <r>
    <x v="1"/>
    <s v="male"/>
    <x v="1"/>
    <x v="0"/>
    <x v="0"/>
    <n v="169"/>
    <x v="0"/>
    <n v="28.4"/>
    <n v="41.37"/>
    <n v="39.119999999999997"/>
    <n v="45"/>
    <n v="165"/>
    <n v="210"/>
    <n v="349.69"/>
    <n v="7"/>
    <n v="100"/>
    <n v="120"/>
    <s v="Wt3"/>
    <n v="96"/>
    <n v="449"/>
    <n v="44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J8" firstHeaderRow="1" firstDataRow="5" firstDataCol="1"/>
  <pivotFields count="22">
    <pivotField axis="axisRow"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axis="axisCol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4">
    <field x="2"/>
    <field x="3"/>
    <field x="4"/>
    <field x="6"/>
  </colFields>
  <colItems count="9">
    <i>
      <x/>
      <x/>
      <x/>
      <x/>
    </i>
    <i t="default" r="2">
      <x/>
    </i>
    <i t="default" r="1">
      <x/>
    </i>
    <i t="default">
      <x/>
    </i>
    <i>
      <x v="1"/>
      <x/>
      <x/>
      <x/>
    </i>
    <i t="default" r="2">
      <x/>
    </i>
    <i t="default" r="1">
      <x/>
    </i>
    <i t="default"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W3" totalsRowShown="0">
  <autoFilter ref="A1:W3"/>
  <tableColumns count="23">
    <tableColumn id="1" name="Household_ID"/>
    <tableColumn id="2" name="Gender"/>
    <tableColumn id="3" name="Household_Income"/>
    <tableColumn id="5" name="Household_Size"/>
    <tableColumn id="6" name="Rainfall_dry_season"/>
    <tableColumn id="7" name="Rainfall_wet_season"/>
    <tableColumn id="8" name="Average_temperature_dry_season"/>
    <tableColumn id="9" name="Average_temperature_wet_season"/>
    <tableColumn id="10" name="LST_dry_season"/>
    <tableColumn id="11" name="LST_wet_season"/>
    <tableColumn id="12" name="Travel_Time"/>
    <tableColumn id="13" name="Amount_Spent"/>
    <tableColumn id="16" name="Willingness_to_pay"/>
    <tableColumn id="21" name="Shortest_Distance"/>
    <tableColumn id="22" name="LULC"/>
    <tableColumn id="23" name="Volume_pe_ day_dry_season"/>
    <tableColumn id="24" name="Volume_pe_ day_wet_season"/>
    <tableColumn id="25" name="Nearest_WaterPoint_Name"/>
    <tableColumn id="26" name="Nearest_WaterPoint_ID"/>
    <tableColumn id="27" name="Elevation_Household"/>
    <tableColumn id="28" name="Elevation_WaterPoint"/>
    <tableColumn id="29" name="Height_Difference"/>
    <tableColumn id="4" name="Results_dry_season" dataDxfId="0">
      <calculatedColumnFormula>-524000+(0.000285*Table1[[#This Row],[Household_Income]])+(6.54*Table1[[#This Row],[Household_Size]])+(1.35*Table1[[#This Row],[Rainfall_dry_season]])+(18000*Table1[[#This Row],[Average_temperature_dry_season]])+(2.851*Table1[[#This Row],[Travel_Time]])+(0.0296*Table1[[#This Row],[Amount_Spent]])+(0.0475*Table1[[#This Row],[Willingness_to_pay]])+(0.0928*Table1[[#This Row],[Shortest_Distance]])+(0.111*Table1[[#This Row],[Height_Difference]])-(0.00132*Table1[[#This Row],[Travel_Time]]*Table1[[#This Row],[Amount_Spent]])+(0.00000198*Table1[[#This Row],[Willingness_to_pay]]*Table1[[#This Row],[Shortest_Distance]])-(0.000831*Table1[[#This Row],[Travel_Time]]*Table1[[#This Row],[Shortest_Distance]])-(0.11*Table1[[#This Row],[Travel_Time]]^2)-(0.000141*Table1[[#This Row],[Amount_Spent]]^2)-(0.000263*Table1[[#This Row],[Willingness_to_pay]]^2)+(0.00000273*Table1[[#This Row],[Shortest_Distance]]^2)+(0.000874*Table1[[#This Row],[Travel_Time]]^3)+(0.000000124*Table1[[#This Row],[Amount_Spent]]^3)+(0.000000201*Table1[[#This Row],[Willingness_to_pay]]^3)-(0.0000000116*Table1[[#This Row],[Shortest_Distance]]^3)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opLeftCell="P1" workbookViewId="0">
      <selection activeCell="W2" sqref="W2"/>
    </sheetView>
  </sheetViews>
  <sheetFormatPr defaultRowHeight="15" x14ac:dyDescent="0.25"/>
  <cols>
    <col min="1" max="1" width="15.5703125" customWidth="1"/>
    <col min="2" max="2" width="9.85546875" customWidth="1"/>
    <col min="3" max="3" width="20.28515625" customWidth="1"/>
    <col min="4" max="4" width="17.28515625" customWidth="1"/>
    <col min="5" max="5" width="20.85546875" customWidth="1"/>
    <col min="6" max="6" width="21.42578125" customWidth="1"/>
    <col min="7" max="7" width="33.7109375" customWidth="1"/>
    <col min="8" max="8" width="34.28515625" customWidth="1"/>
    <col min="9" max="9" width="17" customWidth="1"/>
    <col min="10" max="10" width="17.5703125" customWidth="1"/>
    <col min="11" max="11" width="14" customWidth="1"/>
    <col min="12" max="12" width="16.42578125" customWidth="1"/>
    <col min="13" max="13" width="20.5703125" customWidth="1"/>
    <col min="14" max="14" width="19.140625" customWidth="1"/>
    <col min="16" max="16" width="29" customWidth="1"/>
    <col min="17" max="17" width="29.5703125" customWidth="1"/>
    <col min="18" max="18" width="27.7109375" customWidth="1"/>
    <col min="19" max="19" width="24.28515625" customWidth="1"/>
    <col min="20" max="20" width="22" customWidth="1"/>
    <col min="21" max="21" width="22.7109375" customWidth="1"/>
    <col min="22" max="22" width="19.42578125" customWidth="1"/>
  </cols>
  <sheetData>
    <row r="1" spans="1:23" x14ac:dyDescent="0.25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10</v>
      </c>
      <c r="N1" t="s">
        <v>21</v>
      </c>
      <c r="O1" t="s">
        <v>2</v>
      </c>
      <c r="P1" t="s">
        <v>22</v>
      </c>
      <c r="Q1" t="s">
        <v>23</v>
      </c>
      <c r="R1" t="s">
        <v>3</v>
      </c>
      <c r="S1" t="s">
        <v>4</v>
      </c>
      <c r="T1" t="s">
        <v>5</v>
      </c>
      <c r="U1" t="s">
        <v>6</v>
      </c>
      <c r="V1" t="s">
        <v>24</v>
      </c>
      <c r="W1" t="s">
        <v>41</v>
      </c>
    </row>
    <row r="2" spans="1:23" x14ac:dyDescent="0.25">
      <c r="A2">
        <v>1</v>
      </c>
      <c r="B2" t="s">
        <v>7</v>
      </c>
      <c r="C2">
        <v>100000</v>
      </c>
      <c r="D2">
        <v>7</v>
      </c>
      <c r="E2">
        <v>2</v>
      </c>
      <c r="F2">
        <v>169</v>
      </c>
      <c r="G2">
        <v>29.1</v>
      </c>
      <c r="H2">
        <v>28.4</v>
      </c>
      <c r="I2">
        <v>41.4</v>
      </c>
      <c r="J2">
        <v>38.51</v>
      </c>
      <c r="K2">
        <v>30</v>
      </c>
      <c r="L2">
        <v>330</v>
      </c>
      <c r="M2">
        <v>380</v>
      </c>
      <c r="N2">
        <v>136.01</v>
      </c>
      <c r="O2">
        <v>7</v>
      </c>
      <c r="P2">
        <v>180</v>
      </c>
      <c r="Q2">
        <v>200</v>
      </c>
      <c r="R2" t="s">
        <v>8</v>
      </c>
      <c r="S2">
        <v>96</v>
      </c>
      <c r="T2">
        <v>443</v>
      </c>
      <c r="U2">
        <v>447</v>
      </c>
      <c r="V2">
        <v>4</v>
      </c>
      <c r="W2">
        <f>-524000+(0.000285*Table1[[#This Row],[Household_Income]])+(6.54*Table1[[#This Row],[Household_Size]])+(1.35*Table1[[#This Row],[Rainfall_dry_season]])+(18000*Table1[[#This Row],[Average_temperature_dry_season]])+(2.851*Table1[[#This Row],[Travel_Time]])+(0.0296*Table1[[#This Row],[Amount_Spent]])+(0.0475*Table1[[#This Row],[Willingness_to_pay]])+(0.0928*Table1[[#This Row],[Shortest_Distance]])+(0.111*Table1[[#This Row],[Height_Difference]])-(0.00132*Table1[[#This Row],[Travel_Time]]*Table1[[#This Row],[Amount_Spent]])+(0.00000198*Table1[[#This Row],[Willingness_to_pay]]*Table1[[#This Row],[Shortest_Distance]])-(0.000831*Table1[[#This Row],[Travel_Time]]*Table1[[#This Row],[Shortest_Distance]])-(0.11*Table1[[#This Row],[Travel_Time]]^2)-(0.000141*Table1[[#This Row],[Amount_Spent]]^2)-(0.000263*Table1[[#This Row],[Willingness_to_pay]]^2)+(0.00000273*Table1[[#This Row],[Shortest_Distance]]^2)+(0.000874*Table1[[#This Row],[Travel_Time]]^3)+(0.000000124*Table1[[#This Row],[Amount_Spent]]^3)+(0.000000201*Table1[[#This Row],[Willingness_to_pay]]^3)-(0.0000000116*Table1[[#This Row],[Shortest_Distance]]^3)</f>
        <v>-126.18999159676869</v>
      </c>
    </row>
    <row r="3" spans="1:23" x14ac:dyDescent="0.25">
      <c r="A3">
        <v>2</v>
      </c>
      <c r="B3" t="s">
        <v>9</v>
      </c>
      <c r="C3">
        <v>50000</v>
      </c>
      <c r="D3">
        <v>7</v>
      </c>
      <c r="E3">
        <v>2</v>
      </c>
      <c r="F3">
        <v>169</v>
      </c>
      <c r="G3">
        <v>29.1</v>
      </c>
      <c r="H3">
        <v>28.4</v>
      </c>
      <c r="I3">
        <v>41.37</v>
      </c>
      <c r="J3">
        <v>39.119999999999997</v>
      </c>
      <c r="K3">
        <v>45</v>
      </c>
      <c r="L3">
        <v>165</v>
      </c>
      <c r="M3">
        <v>210</v>
      </c>
      <c r="N3">
        <v>349.69</v>
      </c>
      <c r="O3">
        <v>7</v>
      </c>
      <c r="P3">
        <v>100</v>
      </c>
      <c r="Q3">
        <v>120</v>
      </c>
      <c r="R3" t="s">
        <v>8</v>
      </c>
      <c r="S3">
        <v>96</v>
      </c>
      <c r="T3">
        <v>449</v>
      </c>
      <c r="U3">
        <v>447</v>
      </c>
      <c r="V3">
        <v>2</v>
      </c>
      <c r="W3">
        <f>-524000+(0.000285*Table1[[#This Row],[Household_Income]])+(6.54*Table1[[#This Row],[Household_Size]])+(1.35*Table1[[#This Row],[Rainfall_dry_season]])+(18000*Table1[[#This Row],[Average_temperature_dry_season]])+(2.851*Table1[[#This Row],[Travel_Time]])+(0.0296*Table1[[#This Row],[Amount_Spent]])+(0.0475*Table1[[#This Row],[Willingness_to_pay]])+(0.0928*Table1[[#This Row],[Shortest_Distance]])+(0.111*Table1[[#This Row],[Height_Difference]])-(0.00132*Table1[[#This Row],[Travel_Time]]*Table1[[#This Row],[Amount_Spent]])+(0.00000198*Table1[[#This Row],[Willingness_to_pay]]*Table1[[#This Row],[Shortest_Distance]])-(0.000831*Table1[[#This Row],[Travel_Time]]*Table1[[#This Row],[Shortest_Distance]])-(0.11*Table1[[#This Row],[Travel_Time]]^2)-(0.000141*Table1[[#This Row],[Amount_Spent]]^2)-(0.000263*Table1[[#This Row],[Willingness_to_pay]]^2)+(0.00000273*Table1[[#This Row],[Shortest_Distance]]^2)+(0.000874*Table1[[#This Row],[Travel_Time]]^3)+(0.000000124*Table1[[#This Row],[Amount_Spent]]^3)+(0.000000201*Table1[[#This Row],[Willingness_to_pay]]^3)-(0.0000000116*Table1[[#This Row],[Shortest_Distance]]^3)</f>
        <v>-140.46251173575985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O9" sqref="O9"/>
    </sheetView>
  </sheetViews>
  <sheetFormatPr defaultRowHeight="15" x14ac:dyDescent="0.25"/>
  <cols>
    <col min="1" max="1" width="13.140625" customWidth="1"/>
    <col min="2" max="2" width="16.28515625" customWidth="1"/>
    <col min="3" max="4" width="6.85546875" customWidth="1"/>
    <col min="5" max="5" width="10.85546875" customWidth="1"/>
    <col min="6" max="6" width="8.85546875" customWidth="1"/>
    <col min="7" max="8" width="6.85546875" customWidth="1"/>
    <col min="9" max="9" width="11.85546875" bestFit="1" customWidth="1"/>
    <col min="10" max="10" width="11.28515625" bestFit="1" customWidth="1"/>
  </cols>
  <sheetData>
    <row r="1" spans="1:10" x14ac:dyDescent="0.25">
      <c r="B1" s="5" t="s">
        <v>34</v>
      </c>
    </row>
    <row r="2" spans="1:10" x14ac:dyDescent="0.25">
      <c r="B2">
        <v>50000</v>
      </c>
      <c r="E2" t="s">
        <v>36</v>
      </c>
      <c r="F2">
        <v>100000</v>
      </c>
      <c r="I2" t="s">
        <v>37</v>
      </c>
      <c r="J2" t="s">
        <v>35</v>
      </c>
    </row>
    <row r="3" spans="1:10" x14ac:dyDescent="0.25">
      <c r="B3">
        <v>7</v>
      </c>
      <c r="D3" t="s">
        <v>38</v>
      </c>
      <c r="F3">
        <v>7</v>
      </c>
      <c r="H3" t="s">
        <v>38</v>
      </c>
    </row>
    <row r="4" spans="1:10" x14ac:dyDescent="0.25">
      <c r="B4">
        <v>2</v>
      </c>
      <c r="C4" t="s">
        <v>40</v>
      </c>
      <c r="F4">
        <v>2</v>
      </c>
      <c r="G4" t="s">
        <v>40</v>
      </c>
    </row>
    <row r="5" spans="1:10" x14ac:dyDescent="0.25">
      <c r="A5" s="5" t="s">
        <v>39</v>
      </c>
      <c r="B5">
        <v>29.1</v>
      </c>
      <c r="F5">
        <v>29.1</v>
      </c>
    </row>
    <row r="6" spans="1:10" x14ac:dyDescent="0.25">
      <c r="A6" s="6">
        <v>1</v>
      </c>
    </row>
    <row r="7" spans="1:10" x14ac:dyDescent="0.25">
      <c r="A7" s="6">
        <v>2</v>
      </c>
    </row>
    <row r="8" spans="1:10" x14ac:dyDescent="0.25">
      <c r="A8" s="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showGridLines="0" tabSelected="1" topLeftCell="A6" workbookViewId="0">
      <selection activeCell="H16" sqref="H16"/>
    </sheetView>
  </sheetViews>
  <sheetFormatPr defaultRowHeight="15" x14ac:dyDescent="0.25"/>
  <cols>
    <col min="1" max="1" width="25.5703125" bestFit="1" customWidth="1"/>
    <col min="2" max="2" width="15.28515625" customWidth="1"/>
    <col min="6" max="6" width="9.140625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ht="17.25" customHeight="1" x14ac:dyDescent="0.25">
      <c r="A7" s="2"/>
      <c r="B7" s="2"/>
      <c r="C7" s="2"/>
      <c r="D7" s="2"/>
      <c r="E7" s="2"/>
      <c r="F7" s="7">
        <f>'COMPLETE_data 2'!W2</f>
        <v>-126.18999159676869</v>
      </c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ht="18.75" x14ac:dyDescent="0.3">
      <c r="A10" s="3" t="s">
        <v>25</v>
      </c>
      <c r="B10" s="4">
        <v>10000</v>
      </c>
      <c r="C10" s="2"/>
      <c r="D10" s="2" t="str">
        <f>A10</f>
        <v>Household Income</v>
      </c>
      <c r="E10" s="2"/>
      <c r="F10" s="2">
        <f>B10</f>
        <v>10000</v>
      </c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ht="18.75" x14ac:dyDescent="0.3">
      <c r="A12" s="3" t="s">
        <v>26</v>
      </c>
      <c r="B12" s="4">
        <v>6</v>
      </c>
      <c r="C12" s="2"/>
      <c r="D12" s="2" t="str">
        <f>A12</f>
        <v>Household Size</v>
      </c>
      <c r="E12" s="2"/>
      <c r="F12" s="2">
        <f>B12</f>
        <v>6</v>
      </c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ht="18.75" x14ac:dyDescent="0.3">
      <c r="A14" s="3" t="s">
        <v>27</v>
      </c>
      <c r="B14" s="4">
        <v>1</v>
      </c>
      <c r="C14" s="2"/>
      <c r="D14" s="2" t="str">
        <f>A14</f>
        <v>Average Rainfall</v>
      </c>
      <c r="E14" s="2"/>
      <c r="F14" s="2">
        <f>B14</f>
        <v>1</v>
      </c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ht="18.75" x14ac:dyDescent="0.3">
      <c r="A16" s="3" t="s">
        <v>28</v>
      </c>
      <c r="B16" s="4">
        <v>39</v>
      </c>
      <c r="C16" s="2"/>
      <c r="D16" s="2" t="str">
        <f>A16</f>
        <v>Average Temperature</v>
      </c>
      <c r="E16" s="2"/>
      <c r="F16" s="2">
        <f>B16</f>
        <v>39</v>
      </c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ht="18.75" x14ac:dyDescent="0.3">
      <c r="A18" s="3" t="s">
        <v>29</v>
      </c>
      <c r="B18" s="4">
        <v>30</v>
      </c>
      <c r="C18" s="2"/>
      <c r="D18" s="2" t="str">
        <f>A18</f>
        <v>Travel Time</v>
      </c>
      <c r="E18" s="2"/>
      <c r="F18" s="2">
        <f>B18</f>
        <v>30</v>
      </c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ht="18.75" x14ac:dyDescent="0.3">
      <c r="A20" s="3" t="s">
        <v>30</v>
      </c>
      <c r="B20" s="4">
        <v>900</v>
      </c>
      <c r="C20" s="2"/>
      <c r="D20" s="2" t="str">
        <f>A20</f>
        <v>Amount Spent</v>
      </c>
      <c r="E20" s="2"/>
      <c r="F20" s="2">
        <f>B20</f>
        <v>900</v>
      </c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ht="18.75" x14ac:dyDescent="0.3">
      <c r="A22" s="3" t="s">
        <v>31</v>
      </c>
      <c r="B22" s="4">
        <v>950</v>
      </c>
      <c r="C22" s="2"/>
      <c r="D22" s="2" t="str">
        <f>A22</f>
        <v>Willingness to Pay</v>
      </c>
      <c r="E22" s="2"/>
      <c r="F22" s="2">
        <f>B22</f>
        <v>950</v>
      </c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ht="18.75" x14ac:dyDescent="0.3">
      <c r="A24" s="3" t="s">
        <v>32</v>
      </c>
      <c r="B24" s="4">
        <v>124</v>
      </c>
      <c r="C24" s="2"/>
      <c r="D24" s="2" t="str">
        <f>A24</f>
        <v>shortest Distance</v>
      </c>
      <c r="E24" s="2"/>
      <c r="F24" s="2">
        <f>B24</f>
        <v>124</v>
      </c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ht="18.75" x14ac:dyDescent="0.3">
      <c r="A26" s="3" t="s">
        <v>33</v>
      </c>
      <c r="B26" s="4">
        <v>4</v>
      </c>
      <c r="C26" s="2"/>
      <c r="D26" s="2" t="str">
        <f>A26</f>
        <v>Height Difference</v>
      </c>
      <c r="E26" s="2"/>
      <c r="F26" s="2">
        <f>B26</f>
        <v>4</v>
      </c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</sheetData>
  <mergeCells count="1">
    <mergeCell ref="A1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COMPLETE_data 2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2025-11-22T14:45:04Z</dcterms:created>
  <dcterms:modified xsi:type="dcterms:W3CDTF">2025-11-22T17:52:00Z</dcterms:modified>
</cp:coreProperties>
</file>